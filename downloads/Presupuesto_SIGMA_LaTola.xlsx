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2f41e6515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3829145fa2547cb"/>
    <x:sheet xmlns:r="http://schemas.openxmlformats.org/officeDocument/2006/relationships" name="Presupuesto" sheetId="2" r:id="R5d8b3b48a8204e23"/>
    <x:sheet xmlns:r="http://schemas.openxmlformats.org/officeDocument/2006/relationships" name="Cronograma" sheetId="3" r:id="R3968a1af792f409f"/>
    <x:sheet xmlns:r="http://schemas.openxmlformats.org/officeDocument/2006/relationships" name="Responsables" sheetId="4" r:id="R7213f4a5ae764366"/>
    <x:sheet xmlns:r="http://schemas.openxmlformats.org/officeDocument/2006/relationships" name="Interesados" sheetId="5" r:id="Re196d6abef014f74"/>
    <x:sheet xmlns:r="http://schemas.openxmlformats.org/officeDocument/2006/relationships" name="Riesgos" sheetId="6" r:id="R4363a80864844b7f"/>
    <x:sheet xmlns:r="http://schemas.openxmlformats.org/officeDocument/2006/relationships" name="ROI" sheetId="7" r:id="Raf7416230da7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 #,##0"/>
    <x:numFmt numFmtId="201" formatCode="0.0%"/>
    <x:numFmt numFmtId="202" formatCode="$ #,##0.00"/>
    <x:numFmt numFmtId="203" formatCode="#,##0.00"/>
    <x:numFmt numFmtId="204" formatCode="#,##0"/>
  </x:numFmts>
  <x:fonts count="11">
    <x:font>
      <x:sz val="11"/>
      <x:name val="Carlito"/>
    </x:font>
    <x:font>
      <x:b/>
      <x:sz val="16"/>
      <x:color rgb="FF183247"/>
      <x:name val="Aptos"/>
    </x:font>
    <x:font>
      <x:i/>
      <x:sz val="9"/>
      <x:color rgb="FF596B78"/>
      <x:name val="Aptos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183247"/>
      <x:name val="Carlito"/>
    </x:font>
    <x:font>
      <x:sz val="9"/>
      <x:name val="Carlito"/>
    </x:font>
    <x:font>
      <x:b/>
      <x:sz val="10"/>
      <x:color rgb="FFFFFFFF"/>
      <x:name val="Aptos"/>
    </x:font>
    <x:font>
      <x:sz val="11"/>
      <x:color rgb="FF1565C0"/>
      <x:name val="Carlito"/>
    </x:font>
    <x:font>
      <x:b/>
      <x:sz val="11"/>
      <x:color rgb="FF244A68"/>
      <x:name val="Carlito"/>
    </x:font>
    <x:font>
      <x:sz val="11"/>
      <x:color rgb="FF008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4A68"/>
      </x:patternFill>
    </x:fill>
    <x:fill>
      <x:patternFill patternType="solid">
        <x:fgColor rgb="FFFFF2CC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9D9D9"/>
      </x:right>
      <x:top/>
      <x:bottom style="thin">
        <x:color rgb="FFD9D9D9"/>
      </x:bottom>
      <x:diagonal/>
    </x:border>
    <x:border>
      <x:left style="thin">
        <x:color rgb="FFD9D9D9"/>
      </x:left>
      <x:right/>
      <x:top/>
      <x:bottom style="thin">
        <x:color rgb="FFD9D9D9"/>
      </x:bottom>
      <x:diagonal/>
    </x:border>
    <x:border>
      <x:left/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/>
      <x:top style="thin">
        <x:color rgb="FFD9D9D9"/>
      </x:top>
      <x:bottom style="thin">
        <x:color rgb="FFD9D9D9"/>
      </x:bottom>
      <x:diagonal/>
    </x:border>
    <x:border>
      <x:left/>
      <x:right style="thin">
        <x:color rgb="FFD9D9D9"/>
      </x:right>
      <x:top style="thin">
        <x:color rgb="FFD9D9D9"/>
      </x:top>
      <x:bottom/>
      <x:diagonal/>
    </x:border>
    <x:border>
      <x:left style="thin">
        <x:color rgb="FFD9D9D9"/>
      </x:left>
      <x:right/>
      <x:top style="thin">
        <x:color rgb="FFD9D9D9"/>
      </x:top>
      <x:bottom/>
      <x:diagonal/>
    </x:border>
    <x:border>
      <x:left style="thin">
        <x:color rgb="FFD9D9D9"/>
      </x:left>
      <x:right style="thin">
        <x:color rgb="FFD9D9D9"/>
      </x:right>
      <x:top/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/>
      <x:diagonal/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201" fontId="8" fillId="3" borderId="0" xfId="0" applyNumberFormat="1" applyFont="1" applyFill="1" applyBorder="1"/>
    <x:xf numFmtId="202" fontId="8" fillId="3" borderId="0" xfId="0" applyNumberFormat="1" applyFont="1" applyFill="1" applyBorder="1"/>
    <x:xf numFmtId="203" fontId="8" fillId="3" borderId="0" xfId="0" applyNumberFormat="1" applyFont="1" applyFill="1" applyBorder="1"/>
    <x:xf numFmtId="204" fontId="8" fillId="3" borderId="0" xfId="0" applyNumberFormat="1" applyFont="1" applyFill="1" applyBorder="1"/>
    <x:xf numFmtId="200" fontId="8" fillId="3" borderId="0" xfId="0" applyNumberFormat="1" applyFont="1" applyFill="1" applyBorder="1"/>
    <x:xf numFmtId="202" fontId="0" fillId="0" borderId="0" xfId="0" applyNumberFormat="1" applyFont="1" applyFill="1" applyBorder="1"/>
    <x:xf numFmtId="202" fontId="8" fillId="3" borderId="0" xfId="0" applyNumberFormat="1" applyFont="1" applyFill="1" applyBorder="1" applyAlignment="1">
      <x:alignment wrapText="1"/>
    </x:xf>
    <x:xf numFmtId="203" fontId="8" fillId="3" borderId="0" xfId="0" applyNumberFormat="1" applyFont="1" applyFill="1" applyBorder="1" applyAlignment="1">
      <x:alignment wrapText="1"/>
    </x:xf>
    <x:xf numFmtId="204" fontId="8" fillId="3" borderId="0" xfId="0" applyNumberFormat="1" applyFont="1" applyFill="1" applyBorder="1" applyAlignment="1">
      <x:alignment wrapText="1"/>
    </x:xf>
    <x:xf numFmtId="201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horizontal="center" wrapText="1"/>
    </x:xf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200" fontId="1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8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2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/>
    </x:xf>
    <x:xf numFmtId="203" fontId="8" fillId="3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/>
    </x:xf>
    <x:xf numFmtId="204" fontId="8" fillId="3" borderId="0" xfId="0" applyNumberFormat="1" applyFont="1" applyFill="1" applyBorder="1" applyAlignment="1">
      <x:alignment vertical="center" wrapText="1"/>
    </x:xf>
    <x:xf numFmtId="201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200" fontId="8" fillId="3" borderId="0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3d2de138a14a95" /><Relationship Type="http://schemas.openxmlformats.org/officeDocument/2006/relationships/theme" Target="/xl/theme/theme1.xml" Id="R44f52e1767eb4068" /><Relationship Type="http://schemas.openxmlformats.org/officeDocument/2006/relationships/sharedStrings" Target="/xl/sharedStrings.xml" Id="R5f5e0939f8aa43a3" /><Relationship Type="http://schemas.openxmlformats.org/officeDocument/2006/relationships/worksheet" Target="/xl/worksheets/sheet1.xml" Id="Ra3829145fa2547cb" /><Relationship Type="http://schemas.openxmlformats.org/officeDocument/2006/relationships/worksheet" Target="/xl/worksheets/sheet2.xml" Id="R5d8b3b48a8204e23" /><Relationship Type="http://schemas.openxmlformats.org/officeDocument/2006/relationships/worksheet" Target="/xl/worksheets/sheet3.xml" Id="R3968a1af792f409f" /><Relationship Type="http://schemas.openxmlformats.org/officeDocument/2006/relationships/worksheet" Target="/xl/worksheets/sheet4.xml" Id="R7213f4a5ae764366" /><Relationship Type="http://schemas.openxmlformats.org/officeDocument/2006/relationships/worksheet" Target="/xl/worksheets/sheet5.xml" Id="Re196d6abef014f74" /><Relationship Type="http://schemas.openxmlformats.org/officeDocument/2006/relationships/worksheet" Target="/xl/worksheets/sheet6.xml" Id="R4363a80864844b7f" /><Relationship Type="http://schemas.openxmlformats.org/officeDocument/2006/relationships/worksheet" Target="/xl/worksheets/sheet7.xml" Id="Raf7416230da740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A68"/>
  </x:sheetPr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</x:cols>
  <x:sheetData>
    <x:row r="1">
      <x:c r="A1" s="58" t="str">
        <x:v>Sistema de inventario educativo | La Tola</x:v>
      </x:c>
      <x:c r="B1" s="58"/>
      <x:c r="C1" s="58"/>
      <x:c r="D1" s="58"/>
      <x:c r="E1" s="58"/>
      <x:c r="F1" s="58"/>
      <x:c r="G1" s="58"/>
      <x:c r="H1" s="58"/>
    </x:row>
    <x:row r="2">
      <x:c r="A2" s="59" t="str">
        <x:v>Presupuesto base de planeación · COP · consulta de precios: 28/10/2026</x:v>
      </x:c>
      <x:c r="B2" s="59"/>
      <x:c r="C2" s="59"/>
      <x:c r="D2" s="59"/>
      <x:c r="E2" s="59"/>
      <x:c r="F2" s="59"/>
      <x:c r="G2" s="59"/>
      <x:c r="H2" s="59"/>
    </x:row>
    <x:row r="3">
      <x:c r="A3" s="60"/>
      <x:c r="B3" s="60"/>
      <x:c r="C3" s="60"/>
      <x:c r="D3" s="60"/>
      <x:c r="E3" s="60"/>
      <x:c r="F3" s="60"/>
      <x:c r="G3" s="60"/>
      <x:c r="H3" s="60"/>
    </x:row>
    <x:row r="4">
      <x:c r="A4" s="61" t="str">
        <x:v>Escenario piloto</x:v>
      </x:c>
      <x:c r="B4" s="62" t="str">
        <x:v>1 institución · 1 sede</x:v>
      </x:c>
      <x:c r="C4" s="60"/>
      <x:c r="D4" s="60"/>
      <x:c r="E4" s="60"/>
      <x:c r="F4" s="60"/>
      <x:c r="G4" s="60"/>
      <x:c r="H4" s="60"/>
    </x:row>
    <x:row r="5">
      <x:c r="A5" s="63" t="str">
        <x:v>Activos incluidos</x:v>
      </x:c>
      <x:c r="B5" s="64" t="n">
        <x:v>300</x:v>
      </x:c>
      <x:c r="C5" s="60"/>
      <x:c r="D5" s="60"/>
      <x:c r="E5" s="60"/>
      <x:c r="F5" s="60"/>
      <x:c r="G5" s="60"/>
      <x:c r="H5" s="60"/>
    </x:row>
    <x:row r="6">
      <x:c r="A6" s="63" t="str">
        <x:v>Cuentas incluidas</x:v>
      </x:c>
      <x:c r="B6" s="64" t="n">
        <x:v>50</x:v>
      </x:c>
      <x:c r="C6" s="60"/>
      <x:c r="D6" s="60"/>
      <x:c r="E6" s="60"/>
      <x:c r="F6" s="60"/>
      <x:c r="G6" s="60"/>
      <x:c r="H6" s="60"/>
    </x:row>
    <x:row r="7">
      <x:c r="A7" s="63" t="str">
        <x:v>Implementación</x:v>
      </x:c>
      <x:c r="B7" s="64" t="str">
        <x:v>16 semanas</x:v>
      </x:c>
      <x:c r="C7" s="60"/>
      <x:c r="D7" s="60"/>
      <x:c r="E7" s="60"/>
      <x:c r="F7" s="60"/>
      <x:c r="G7" s="60"/>
      <x:c r="H7" s="60"/>
    </x:row>
    <x:row r="8">
      <x:c r="A8" s="63" t="str">
        <x:v>Soporte presupuestado</x:v>
      </x:c>
      <x:c r="B8" s="64" t="str">
        <x:v>12 meses después del lanzamiento</x:v>
      </x:c>
      <x:c r="C8" s="60"/>
      <x:c r="D8" s="60"/>
      <x:c r="E8" s="60"/>
      <x:c r="F8" s="60"/>
      <x:c r="G8" s="60"/>
      <x:c r="H8" s="60"/>
    </x:row>
    <x:row r="9">
      <x:c r="A9" s="65" t="str">
        <x:v>Base de costo</x:v>
      </x:c>
      <x:c r="B9" s="66" t="str">
        <x:v>Costo económico completo, no solo desembolso</x:v>
      </x:c>
      <x:c r="C9" s="60"/>
      <x:c r="D9" s="60"/>
      <x:c r="E9" s="60"/>
      <x:c r="F9" s="60"/>
      <x:c r="G9" s="60"/>
      <x:c r="H9" s="60"/>
    </x:row>
    <x:row r="10">
      <x:c r="A10" s="67"/>
      <x:c r="B10" s="67"/>
      <x:c r="C10" s="60"/>
      <x:c r="D10" s="60"/>
      <x:c r="E10" s="60"/>
      <x:c r="F10" s="60"/>
      <x:c r="G10" s="60"/>
      <x:c r="H10" s="60"/>
    </x:row>
    <x:row r="11">
      <x:c r="A11" s="68" t="str">
        <x:v>Indicador</x:v>
      </x:c>
      <x:c r="B11" s="68" t="str">
        <x:v>COP</x:v>
      </x:c>
      <x:c r="C11" s="60"/>
      <x:c r="D11" s="60"/>
      <x:c r="E11" s="60"/>
      <x:c r="F11" s="60"/>
      <x:c r="G11" s="60"/>
      <x:c r="H11" s="60"/>
    </x:row>
    <x:row r="12">
      <x:c r="A12" s="69" t="str">
        <x:v>Construcción</x:v>
      </x:c>
      <x:c r="B12" s="70" t="n">
        <x:f>Presupuesto!B32</x:f>
        <x:v>48184000</x:v>
      </x:c>
      <x:c r="C12" s="60"/>
      <x:c r="D12" s="60"/>
      <x:c r="E12" s="60"/>
      <x:c r="F12" s="60"/>
      <x:c r="G12" s="60"/>
      <x:c r="H12" s="60"/>
    </x:row>
    <x:row r="13">
      <x:c r="A13" s="69" t="str">
        <x:v>Total año 1</x:v>
      </x:c>
      <x:c r="B13" s="70" t="n">
        <x:f>Presupuesto!B36</x:f>
        <x:v>75562917.4192</x:v>
      </x:c>
      <x:c r="C13" s="60"/>
      <x:c r="D13" s="60"/>
      <x:c r="E13" s="60"/>
      <x:c r="F13" s="60"/>
      <x:c r="G13" s="60"/>
      <x:c r="H13" s="60"/>
    </x:row>
    <x:row r="14">
      <x:c r="A14" s="69" t="str">
        <x:v>Operación anual desde año 2</x:v>
      </x:c>
      <x:c r="B14" s="70" t="n">
        <x:f>Presupuesto!E35</x:f>
        <x:v>9114179.472</x:v>
      </x:c>
      <x:c r="C14" s="60"/>
      <x:c r="D14" s="60"/>
      <x:c r="E14" s="60"/>
      <x:c r="F14" s="60"/>
      <x:c r="G14" s="60"/>
      <x:c r="H14" s="60"/>
    </x:row>
    <x:row r="15">
      <x:c r="A15" s="67"/>
      <x:c r="B15" s="67"/>
      <x:c r="C15" s="60"/>
      <x:c r="D15" s="60"/>
      <x:c r="E15" s="60"/>
      <x:c r="F15" s="60"/>
      <x:c r="G15" s="60"/>
      <x:c r="H15" s="60"/>
    </x:row>
    <x:row r="16">
      <x:c r="A16" s="68" t="str">
        <x:v>Lectura</x:v>
      </x:c>
      <x:c r="B16" s="68" t="str">
        <x:v>Detalle</x:v>
      </x:c>
      <x:c r="C16" s="60"/>
      <x:c r="D16" s="60"/>
      <x:c r="E16" s="60"/>
      <x:c r="F16" s="60"/>
      <x:c r="G16" s="60"/>
      <x:c r="H16" s="60"/>
    </x:row>
    <x:row r="17">
      <x:c r="A17" s="69" t="str">
        <x:v>Costo económico año 1</x:v>
      </x:c>
      <x:c r="B17" s="71" t="str">
        <x:v>Incluye horas profesionales estimadas, soporte, nube, etiquetas, contingencia y provisión tributaria condicional.</x:v>
      </x:c>
      <x:c r="C17" s="60"/>
      <x:c r="D17" s="60"/>
      <x:c r="E17" s="60"/>
      <x:c r="F17" s="60"/>
      <x:c r="G17" s="60"/>
      <x:c r="H17" s="60"/>
    </x:row>
    <x:row r="18">
      <x:c r="A18" s="69" t="str">
        <x:v>Desembolso si trabajo es aportado en especie</x:v>
      </x:c>
      <x:c r="B18" s="72" t="n">
        <x:f>Presupuesto!E36</x:f>
        <x:v>1400197.4192000001</x:v>
      </x:c>
      <x:c r="C18" s="60"/>
      <x:c r="D18" s="60"/>
      <x:c r="E18" s="60"/>
      <x:c r="F18" s="60"/>
      <x:c r="G18" s="60"/>
      <x:c r="H18" s="60"/>
    </x:row>
    <x:row r="19">
      <x:c r="A19" s="69" t="str">
        <x:v>Límite</x:v>
      </x:c>
      <x:c r="B19" s="71" t="str">
        <x:v>No es cotización. Cotizar trabajo, QR variable, envío a La Tola, tratamiento tributario y conectividad.</x:v>
      </x:c>
      <x:c r="C19" s="60"/>
      <x:c r="D19" s="60"/>
      <x:c r="E19" s="60"/>
      <x:c r="F19" s="60"/>
      <x:c r="G19" s="60"/>
      <x:c r="H19" s="6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FAADC"/>
  </x:sheetPr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32" hidden="0" customWidth="1"/>
    <x:col min="2" max="2" width="44" hidden="0" customWidth="1"/>
    <x:col min="3" max="3" width="14" hidden="0" customWidth="1"/>
    <x:col min="4" max="4" width="13" hidden="0" customWidth="1"/>
    <x:col min="5" max="5" width="18" hidden="0" customWidth="1"/>
    <x:col min="6" max="6" width="19" hidden="0" customWidth="1"/>
    <x:col min="7" max="7" width="52" hidden="0" customWidth="1"/>
  </x:cols>
  <x:sheetData>
    <x:row r="1">
      <x:c r="A1" s="58" t="str">
        <x:v>Presupuesto detallado</x:v>
      </x:c>
      <x:c r="B1" s="58"/>
      <x:c r="C1" s="58"/>
      <x:c r="D1" s="58"/>
      <x:c r="E1" s="58"/>
      <x:c r="F1" s="58"/>
      <x:c r="G1" s="58"/>
      <x:c r="H1" s="58"/>
    </x:row>
    <x:row r="2">
      <x:c r="A2" s="59" t="str">
        <x:v>Inputs editables en azul claro. COP nominales. Las tarifas profesionales son estimaciones que requieren cotización.</x:v>
      </x:c>
      <x:c r="B2" s="59"/>
      <x:c r="C2" s="59"/>
      <x:c r="D2" s="59"/>
      <x:c r="E2" s="59"/>
      <x:c r="F2" s="59"/>
      <x:c r="G2" s="59"/>
      <x:c r="H2" s="59"/>
    </x:row>
    <x:row r="3">
      <x:c r="A3" s="60"/>
      <x:c r="B3" s="60"/>
      <x:c r="C3" s="60"/>
      <x:c r="D3" s="60"/>
      <x:c r="E3" s="60"/>
      <x:c r="F3" s="60"/>
      <x:c r="G3" s="60"/>
      <x:c r="H3" s="60"/>
    </x:row>
    <x:row r="4" ht="15" hidden="0" customHeight="1">
      <x:c r="A4" s="25" t="str">
        <x:v>Parámetro</x:v>
      </x:c>
      <x:c r="B4" s="25" t="str">
        <x:v>Valor</x:v>
      </x:c>
      <x:c r="C4" s="60"/>
      <x:c r="D4" s="25" t="str">
        <x:v>Supuestos operativos</x:v>
      </x:c>
      <x:c r="E4" s="25" t="str">
        <x:v>Valor</x:v>
      </x:c>
      <x:c r="F4" s="60"/>
      <x:c r="G4" s="60"/>
      <x:c r="H4" s="60"/>
    </x:row>
    <x:row r="5" ht="26.399999618530273" hidden="0" customHeight="1">
      <x:c r="A5" s="67" t="str">
        <x:v>TRM COP/USD</x:v>
      </x:c>
      <x:c r="B5" s="73" t="n">
        <x:v>3148.02</x:v>
      </x:c>
      <x:c r="C5" s="60"/>
      <x:c r="D5" s="60" t="str">
        <x:v>Meses de soporte</x:v>
      </x:c>
      <x:c r="E5" s="74" t="n">
        <x:v>12</x:v>
      </x:c>
      <x:c r="F5" s="60"/>
      <x:c r="G5" s="60"/>
      <x:c r="H5" s="60"/>
    </x:row>
    <x:row r="6" ht="66" hidden="0" customHeight="1">
      <x:c r="A6" s="67" t="str">
        <x:v>Almacenamiento objetos previsto GB</x:v>
      </x:c>
      <x:c r="B6" s="75" t="n">
        <x:v>30</x:v>
      </x:c>
      <x:c r="C6" s="60"/>
      <x:c r="D6" s="60" t="str">
        <x:v>Horas soporte por mes</x:v>
      </x:c>
      <x:c r="E6" s="74" t="n">
        <x:v>12</x:v>
      </x:c>
      <x:c r="F6" s="60"/>
      <x:c r="G6" s="60"/>
      <x:c r="H6" s="60"/>
    </x:row>
    <x:row r="7" ht="52.79999923706055" hidden="0" customHeight="1">
      <x:c r="A7" s="67" t="str">
        <x:v>Almacenamiento R2 incluido GB</x:v>
      </x:c>
      <x:c r="B7" s="75" t="n">
        <x:v>10</x:v>
      </x:c>
      <x:c r="C7" s="60"/>
      <x:c r="D7" s="60" t="str">
        <x:v>Tarifa soporte COP/h</x:v>
      </x:c>
      <x:c r="E7" s="76" t="n">
        <x:v>56000</x:v>
      </x:c>
      <x:c r="F7" s="60"/>
      <x:c r="G7" s="60"/>
      <x:c r="H7" s="60"/>
    </x:row>
    <x:row r="8" ht="39.599998474121094" hidden="0" customHeight="1">
      <x:c r="A8" s="67" t="str">
        <x:v>Precio R2 USD/GB-mes</x:v>
      </x:c>
      <x:c r="B8" s="75" t="n">
        <x:v>0.015</x:v>
      </x:c>
      <x:c r="C8" s="60"/>
      <x:c r="D8" s="60"/>
      <x:c r="E8" s="60"/>
      <x:c r="F8" s="60"/>
      <x:c r="G8" s="60"/>
      <x:c r="H8" s="60"/>
    </x:row>
    <x:row r="9" ht="26.399999618530273" hidden="0" customHeight="1">
      <x:c r="A9" s="67" t="str">
        <x:v>Cantidad etiquetas</x:v>
      </x:c>
      <x:c r="B9" s="77" t="n">
        <x:v>1000</x:v>
      </x:c>
      <x:c r="C9" s="60"/>
      <x:c r="D9" s="60"/>
      <x:c r="E9" s="60"/>
      <x:c r="F9" s="60"/>
      <x:c r="G9" s="60"/>
      <x:c r="H9" s="60"/>
    </x:row>
    <x:row r="10" ht="39.599998474121094" hidden="0" customHeight="1">
      <x:c r="A10" s="67" t="str">
        <x:v>Costo etiqueta COP</x:v>
      </x:c>
      <x:c r="B10" s="77" t="n">
        <x:v>145</x:v>
      </x:c>
      <x:c r="C10" s="60"/>
      <x:c r="D10" s="60"/>
      <x:c r="E10" s="60"/>
      <x:c r="F10" s="60"/>
      <x:c r="G10" s="60"/>
      <x:c r="H10" s="60"/>
    </x:row>
    <x:row r="11" ht="39.599998474121094" hidden="0" customHeight="1">
      <x:c r="A11" s="67" t="str">
        <x:v>Envío provisional COP</x:v>
      </x:c>
      <x:c r="B11" s="77" t="n">
        <x:v>100000</x:v>
      </x:c>
      <x:c r="C11" s="60"/>
      <x:c r="D11" s="60"/>
      <x:c r="E11" s="60"/>
      <x:c r="F11" s="60"/>
      <x:c r="G11" s="60"/>
      <x:c r="H11" s="60"/>
    </x:row>
    <x:row r="12" ht="52.79999923706055" hidden="0" customHeight="1">
      <x:c r="A12" s="67" t="str">
        <x:v>Contingencia construcción</x:v>
      </x:c>
      <x:c r="B12" s="78" t="n">
        <x:v>0.15</x:v>
      </x:c>
      <x:c r="C12" s="60"/>
      <x:c r="D12" s="60"/>
      <x:c r="E12" s="60"/>
      <x:c r="F12" s="60"/>
      <x:c r="G12" s="60"/>
      <x:c r="H12" s="60"/>
    </x:row>
    <x:row r="13" ht="52.79999923706055" hidden="0" customHeight="1">
      <x:c r="A13" s="67" t="str">
        <x:v>Provisión IVA condicional</x:v>
      </x:c>
      <x:c r="B13" s="78" t="n">
        <x:v>0.19</x:v>
      </x:c>
      <x:c r="C13" s="60"/>
      <x:c r="D13" s="60"/>
      <x:c r="E13" s="60"/>
      <x:c r="F13" s="60"/>
      <x:c r="G13" s="60"/>
      <x:c r="H13" s="60"/>
    </x:row>
    <x:row r="14" ht="52.79999923706055" hidden="0" customHeight="1">
      <x:c r="A14" s="67" t="str">
        <x:v>Reserva cambiaria pagos USD</x:v>
      </x:c>
      <x:c r="B14" s="78" t="n">
        <x:v>0.1</x:v>
      </x:c>
      <x:c r="C14" s="60"/>
      <x:c r="D14" s="60"/>
      <x:c r="E14" s="60"/>
      <x:c r="F14" s="60"/>
      <x:c r="G14" s="60"/>
      <x:c r="H14" s="60"/>
    </x:row>
    <x:row r="15">
      <x:c r="A15" s="60"/>
      <x:c r="B15" s="60"/>
      <x:c r="C15" s="60"/>
      <x:c r="D15" s="60"/>
      <x:c r="E15" s="60"/>
      <x:c r="F15" s="60"/>
      <x:c r="G15" s="60"/>
      <x:c r="H15" s="60"/>
    </x:row>
    <x:row r="16">
      <x:c r="A16" s="25" t="str">
        <x:v>Tipo</x:v>
      </x:c>
      <x:c r="B16" s="25" t="str">
        <x:v>Concepto</x:v>
      </x:c>
      <x:c r="C16" s="25" t="str">
        <x:v>Cantidad</x:v>
      </x:c>
      <x:c r="D16" s="25" t="str">
        <x:v>Unidad</x:v>
      </x:c>
      <x:c r="E16" s="25" t="str">
        <x:v>Tarifa COP</x:v>
      </x:c>
      <x:c r="F16" s="25" t="str">
        <x:v>Costo COP</x:v>
      </x:c>
      <x:c r="G16" s="25" t="str">
        <x:v>Fuente / nota</x:v>
      </x:c>
      <x:c r="H16" s="60"/>
    </x:row>
    <x:row r="17">
      <x:c r="A17" s="67" t="str">
        <x:v>Construcción</x:v>
      </x:c>
      <x:c r="B17" s="67" t="str">
        <x:v>Liderazgo y gestión</x:v>
      </x:c>
      <x:c r="C17" s="79" t="n">
        <x:v>80</x:v>
      </x:c>
      <x:c r="D17" s="67" t="str">
        <x:v>h</x:v>
      </x:c>
      <x:c r="E17" s="73" t="n">
        <x:v>65000</x:v>
      </x:c>
      <x:c r="F17" s="80" t="n">
        <x:f>C17*E17</x:f>
        <x:v>5200000</x:v>
      </x:c>
      <x:c r="G17" s="67" t="str">
        <x:v>Tarifa estimada; validar con oferta</x:v>
      </x:c>
      <x:c r="H17" s="60"/>
    </x:row>
    <x:row r="18">
      <x:c r="A18" s="67" t="str">
        <x:v>Construcción</x:v>
      </x:c>
      <x:c r="B18" s="67" t="str">
        <x:v>Análisis de procesos y requisitos</x:v>
      </x:c>
      <x:c r="C18" s="79" t="n">
        <x:v>80</x:v>
      </x:c>
      <x:c r="D18" s="67" t="str">
        <x:v>h</x:v>
      </x:c>
      <x:c r="E18" s="73" t="n">
        <x:v>52000</x:v>
      </x:c>
      <x:c r="F18" s="80" t="n">
        <x:f>C18*E18</x:f>
        <x:v>4160000</x:v>
      </x:c>
      <x:c r="G18" s="67" t="str">
        <x:v>Tarifa estimada; validar con oferta</x:v>
      </x:c>
      <x:c r="H18" s="60"/>
    </x:row>
    <x:row r="19">
      <x:c r="A19" s="67" t="str">
        <x:v>Construcción</x:v>
      </x:c>
      <x:c r="B19" s="67" t="str">
        <x:v>Diseño UX/UI</x:v>
      </x:c>
      <x:c r="C19" s="79" t="n">
        <x:v>48</x:v>
      </x:c>
      <x:c r="D19" s="67" t="str">
        <x:v>h</x:v>
      </x:c>
      <x:c r="E19" s="73" t="n">
        <x:v>78000</x:v>
      </x:c>
      <x:c r="F19" s="80" t="n">
        <x:f>C19*E19</x:f>
        <x:v>3744000</x:v>
      </x:c>
      <x:c r="G19" s="67" t="str">
        <x:v>Tarifa estimada; referencia salarial CENISOFT 2025</x:v>
      </x:c>
      <x:c r="H19" s="60"/>
    </x:row>
    <x:row r="20">
      <x:c r="A20" s="67" t="str">
        <x:v>Construcción</x:v>
      </x:c>
      <x:c r="B20" s="67" t="str">
        <x:v>Desarrollo full-stack</x:v>
      </x:c>
      <x:c r="C20" s="79" t="n">
        <x:v>400</x:v>
      </x:c>
      <x:c r="D20" s="67" t="str">
        <x:v>h</x:v>
      </x:c>
      <x:c r="E20" s="73" t="n">
        <x:v>56000</x:v>
      </x:c>
      <x:c r="F20" s="80" t="n">
        <x:f>C20*E20</x:f>
        <x:v>22400000</x:v>
      </x:c>
      <x:c r="G20" s="67" t="str">
        <x:v>Tarifa estimada; referencia salarial CENISOFT 2025</x:v>
      </x:c>
      <x:c r="H20" s="60"/>
    </x:row>
    <x:row r="21">
      <x:c r="A21" s="67" t="str">
        <x:v>Construcción</x:v>
      </x:c>
      <x:c r="B21" s="67" t="str">
        <x:v>Aseguramiento de calidad</x:v>
      </x:c>
      <x:c r="C21" s="79" t="n">
        <x:v>100</x:v>
      </x:c>
      <x:c r="D21" s="67" t="str">
        <x:v>h</x:v>
      </x:c>
      <x:c r="E21" s="73" t="n">
        <x:v>42000</x:v>
      </x:c>
      <x:c r="F21" s="80" t="n">
        <x:f>C21*E21</x:f>
        <x:v>4200000</x:v>
      </x:c>
      <x:c r="G21" s="67" t="str">
        <x:v>Estimación de planeación; solicitar oferta</x:v>
      </x:c>
      <x:c r="H21" s="60"/>
    </x:row>
    <x:row r="22">
      <x:c r="A22" s="67" t="str">
        <x:v>Construcción</x:v>
      </x:c>
      <x:c r="B22" s="67" t="str">
        <x:v>Despliegue y seguridad</x:v>
      </x:c>
      <x:c r="C22" s="79" t="n">
        <x:v>56</x:v>
      </x:c>
      <x:c r="D22" s="67" t="str">
        <x:v>h</x:v>
      </x:c>
      <x:c r="E22" s="73" t="n">
        <x:v>100000</x:v>
      </x:c>
      <x:c r="F22" s="80" t="n">
        <x:f>C22*E22</x:f>
        <x:v>5600000</x:v>
      </x:c>
      <x:c r="G22" s="67" t="str">
        <x:v>Estimación especialista; solicitar oferta</x:v>
      </x:c>
      <x:c r="H22" s="60"/>
    </x:row>
    <x:row r="23">
      <x:c r="A23" s="67" t="str">
        <x:v>Construcción</x:v>
      </x:c>
      <x:c r="B23" s="67" t="str">
        <x:v>Migración, documentación y capacitación</x:v>
      </x:c>
      <x:c r="C23" s="79" t="n">
        <x:v>72</x:v>
      </x:c>
      <x:c r="D23" s="67" t="str">
        <x:v>h</x:v>
      </x:c>
      <x:c r="E23" s="73" t="n">
        <x:v>40000</x:v>
      </x:c>
      <x:c r="F23" s="80" t="n">
        <x:f>C23*E23</x:f>
        <x:v>2880000</x:v>
      </x:c>
      <x:c r="G23" s="67" t="str">
        <x:v>Estimación de planeación; solicitar oferta</x:v>
      </x:c>
      <x:c r="H23" s="60"/>
    </x:row>
    <x:row r="24">
      <x:c r="A24" s="67" t="str">
        <x:v>Soporte</x:v>
      </x:c>
      <x:c r="B24" s="67" t="str">
        <x:v>Soporte mensual posproducción</x:v>
      </x:c>
      <x:c r="C24" s="67" t="n">
        <x:f>E5*E6</x:f>
        <x:v>144</x:v>
      </x:c>
      <x:c r="D24" s="67" t="str">
        <x:v>h</x:v>
      </x:c>
      <x:c r="E24" s="81" t="n">
        <x:f>E7</x:f>
        <x:v>56000</x:v>
      </x:c>
      <x:c r="F24" s="80" t="n">
        <x:f>C24*E24</x:f>
        <x:v>8064000</x:v>
      </x:c>
      <x:c r="G24" s="67" t="str">
        <x:v>12 h/mes × meses × tarifa editable</x:v>
      </x:c>
      <x:c r="H24" s="60"/>
    </x:row>
    <x:row r="25">
      <x:c r="A25" s="67" t="str">
        <x:v>Nube USD</x:v>
      </x:c>
      <x:c r="B25" s="67" t="str">
        <x:v>Supabase Pro</x:v>
      </x:c>
      <x:c r="C25" s="67" t="n">
        <x:f>12</x:f>
        <x:v>12</x:v>
      </x:c>
      <x:c r="D25" s="67" t="str">
        <x:v>mes</x:v>
      </x:c>
      <x:c r="E25" s="81" t="n">
        <x:f>B5*25</x:f>
        <x:v>78700.5</x:v>
      </x:c>
      <x:c r="F25" s="80" t="n">
        <x:f>C25*E25</x:f>
        <x:v>944406</x:v>
      </x:c>
      <x:c r="G25" s="67" t="str">
        <x:v>Precio oficial: https://supabase.com/pricing</x:v>
      </x:c>
      <x:c r="H25" s="60"/>
    </x:row>
    <x:row r="26">
      <x:c r="A26" s="67" t="str">
        <x:v>Nube USD</x:v>
      </x:c>
      <x:c r="B26" s="67" t="str">
        <x:v>Cloudflare R2 almacenamiento</x:v>
      </x:c>
      <x:c r="C26" s="67" t="n">
        <x:f>MAX(0,B6-B7)*12</x:f>
        <x:v>240</x:v>
      </x:c>
      <x:c r="D26" s="67" t="str">
        <x:v>GB-mes</x:v>
      </x:c>
      <x:c r="E26" s="81" t="n">
        <x:f>B5*B8</x:f>
        <x:v>47.220299999999995</x:v>
      </x:c>
      <x:c r="F26" s="80" t="n">
        <x:f>C26*E26</x:f>
        <x:v>11332.872</x:v>
      </x:c>
      <x:c r="G26" s="67" t="str">
        <x:v>USD 0.015/GB-mes: https://developers.cloudflare.com/r2/pricing/</x:v>
      </x:c>
      <x:c r="H26" s="60"/>
    </x:row>
    <x:row r="27">
      <x:c r="A27" s="67" t="str">
        <x:v>Nube USD</x:v>
      </x:c>
      <x:c r="B27" s="67" t="str">
        <x:v>Dominio .co</x:v>
      </x:c>
      <x:c r="C27" s="67" t="n">
        <x:f>1</x:f>
        <x:v>1</x:v>
      </x:c>
      <x:c r="D27" s="67" t="str">
        <x:v>año</x:v>
      </x:c>
      <x:c r="E27" s="81" t="n">
        <x:f>B5*30</x:f>
        <x:v>94440.6</x:v>
      </x:c>
      <x:c r="F27" s="80" t="n">
        <x:f>C27*E27</x:f>
        <x:v>94440.6</x:v>
      </x:c>
      <x:c r="G27" s="67" t="str">
        <x:v>USD 30/año: https://pricing.registrar.cloudflare.com/</x:v>
      </x:c>
      <x:c r="H27" s="60"/>
    </x:row>
    <x:row r="28">
      <x:c r="A28" s="67" t="str">
        <x:v>Directo COP</x:v>
      </x:c>
      <x:c r="B28" s="67" t="str">
        <x:v>Etiquetas QR (precio base no incluye impresión variable confirmada)</x:v>
      </x:c>
      <x:c r="C28" s="67" t="n">
        <x:f>B9</x:f>
        <x:v>1000</x:v>
      </x:c>
      <x:c r="D28" s="67" t="str">
        <x:v>unidad</x:v>
      </x:c>
      <x:c r="E28" s="81" t="n">
        <x:f>B10</x:f>
        <x:v>145</x:v>
      </x:c>
      <x:c r="F28" s="80" t="n">
        <x:f>C28*E28</x:f>
        <x:v>145000</x:v>
      </x:c>
      <x:c r="G28" s="67" t="str">
        <x:v>Referencia COP 145: https://branding360.com.co/tienda.html</x:v>
      </x:c>
      <x:c r="H28" s="60"/>
    </x:row>
    <x:row r="29">
      <x:c r="A29" s="67" t="str">
        <x:v>Directo COP</x:v>
      </x:c>
      <x:c r="B29" s="67" t="str">
        <x:v>Envío estimado a La Tola</x:v>
      </x:c>
      <x:c r="C29" s="67" t="n">
        <x:f>1</x:f>
        <x:v>1</x:v>
      </x:c>
      <x:c r="D29" s="67" t="str">
        <x:v>provisional</x:v>
      </x:c>
      <x:c r="E29" s="81" t="n">
        <x:f>B11</x:f>
        <x:v>100000</x:v>
      </x:c>
      <x:c r="F29" s="80" t="n">
        <x:f>C29*E29</x:f>
        <x:v>100000</x:v>
      </x:c>
      <x:c r="G29" s="67" t="str">
        <x:v>Supuesto; reemplazar por cotización local</x:v>
      </x:c>
      <x:c r="H29" s="60"/>
    </x:row>
    <x:row r="30">
      <x:c r="A30" s="60"/>
      <x:c r="B30" s="60"/>
      <x:c r="C30" s="60"/>
      <x:c r="D30" s="60"/>
      <x:c r="E30" s="60"/>
      <x:c r="F30" s="60"/>
      <x:c r="G30" s="60"/>
      <x:c r="H30" s="60"/>
    </x:row>
    <x:row r="31">
      <x:c r="A31" s="40" t="str">
        <x:v>Cálculo</x:v>
      </x:c>
      <x:c r="B31" s="41" t="str">
        <x:v>COP</x:v>
      </x:c>
      <x:c r="C31" s="82"/>
      <x:c r="D31" s="41" t="str">
        <x:v>Vista de costos</x:v>
      </x:c>
      <x:c r="E31" s="43" t="str">
        <x:v>COP</x:v>
      </x:c>
      <x:c r="F31" s="60"/>
      <x:c r="G31" s="60"/>
      <x:c r="H31" s="60"/>
    </x:row>
    <x:row r="32">
      <x:c r="A32" s="63" t="str">
        <x:v>Subtotal construcción</x:v>
      </x:c>
      <x:c r="B32" s="83" t="n">
        <x:f>SUM(F17:F23)</x:f>
        <x:v>48184000</x:v>
      </x:c>
      <x:c r="C32" s="84"/>
      <x:c r="D32" s="84" t="str">
        <x:v>Servicios profesionales año 1</x:v>
      </x:c>
      <x:c r="E32" s="85" t="n">
        <x:f>B32+F24</x:f>
        <x:v>56248000</x:v>
      </x:c>
      <x:c r="F32" s="60"/>
      <x:c r="G32" s="60"/>
      <x:c r="H32" s="60"/>
    </x:row>
    <x:row r="33">
      <x:c r="A33" s="63" t="str">
        <x:v>Contingencia construcción</x:v>
      </x:c>
      <x:c r="B33" s="83" t="n">
        <x:f>B32*B12</x:f>
        <x:v>7227600</x:v>
      </x:c>
      <x:c r="C33" s="84"/>
      <x:c r="D33" s="84" t="str">
        <x:v>Nube, etiquetas y envío</x:v>
      </x:c>
      <x:c r="E33" s="85" t="n">
        <x:f>SUM(F25:F29)</x:f>
        <x:v>1295179.472</x:v>
      </x:c>
      <x:c r="F33" s="60"/>
      <x:c r="G33" s="60"/>
      <x:c r="H33" s="60"/>
    </x:row>
    <x:row r="34">
      <x:c r="A34" s="63" t="str">
        <x:v>Provisión tributaria condicional</x:v>
      </x:c>
      <x:c r="B34" s="83" t="n">
        <x:f>(B32+F24)*B13</x:f>
        <x:v>10687120</x:v>
      </x:c>
      <x:c r="C34" s="84"/>
      <x:c r="D34" s="84" t="str">
        <x:v>Total sin contingencia/IVA/FX</x:v>
      </x:c>
      <x:c r="E34" s="85" t="n">
        <x:f>E32+E33</x:f>
        <x:v>57543179.472</x:v>
      </x:c>
      <x:c r="F34" s="60"/>
      <x:c r="G34" s="60"/>
      <x:c r="H34" s="60"/>
    </x:row>
    <x:row r="35">
      <x:c r="A35" s="63" t="str">
        <x:v>Reserva cambiaria</x:v>
      </x:c>
      <x:c r="B35" s="83" t="n">
        <x:f>SUM(F25:F27)*B14</x:f>
        <x:v>105017.94720000001</x:v>
      </x:c>
      <x:c r="C35" s="84"/>
      <x:c r="D35" s="84" t="str">
        <x:v>Operación anual desde año 2</x:v>
      </x:c>
      <x:c r="E35" s="85" t="n">
        <x:f>F24+B5*(25*12+MAX(0,B6-B7)*B8*12+30)</x:f>
        <x:v>9114179.472</x:v>
      </x:c>
      <x:c r="F35" s="60"/>
      <x:c r="G35" s="60"/>
      <x:c r="H35" s="60"/>
    </x:row>
    <x:row r="36">
      <x:c r="A36" s="65" t="str">
        <x:v>Total económico año 1</x:v>
      </x:c>
      <x:c r="B36" s="86" t="n">
        <x:f>B32+SUM(F24:F29)+B33+B34+B35</x:f>
        <x:v>75562917.4192</x:v>
      </x:c>
      <x:c r="C36" s="87"/>
      <x:c r="D36" s="87" t="str">
        <x:v>Desembolso si labor es en especie</x:v>
      </x:c>
      <x:c r="E36" s="88" t="n">
        <x:f>SUM(F25:F29)+B35</x:f>
        <x:v>1400197.4192000001</x:v>
      </x:c>
      <x:c r="F36" s="60"/>
      <x:c r="G36" s="60"/>
      <x:c r="H36" s="6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9" hidden="0" customWidth="1"/>
    <x:col min="3" max="3" width="9" hidden="0" customWidth="1"/>
    <x:col min="4" max="4" width="29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</x:cols>
  <x:sheetData>
    <x:row r="1">
      <x:c r="A1" s="58" t="str">
        <x:v>Cronograma técnico de 16 semanas</x:v>
      </x:c>
      <x:c r="B1" s="58"/>
      <x:c r="C1" s="58"/>
      <x:c r="D1" s="58"/>
      <x:c r="E1" s="58"/>
      <x:c r="F1" s="58"/>
      <x:c r="G1" s="58"/>
      <x:c r="H1" s="58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</x:row>
    <x:row r="2">
      <x:c r="A2" s="59" t="str">
        <x:v>Fechas relativas al inicio; confirmar fecha calendario al aprobar el acta. ■ indica semanas activas.</x:v>
      </x:c>
      <x:c r="B2" s="59"/>
      <x:c r="C2" s="59"/>
      <x:c r="D2" s="59"/>
      <x:c r="E2" s="59"/>
      <x:c r="F2" s="59"/>
      <x:c r="G2" s="59"/>
      <x:c r="H2" s="59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</x:row>
    <x:row r="4">
      <x:c r="A4" s="25" t="str">
        <x:v>Actividad</x:v>
      </x:c>
      <x:c r="B4" s="25" t="str">
        <x:v>Inicio</x:v>
      </x:c>
      <x:c r="C4" s="25" t="str">
        <x:v>Fin</x:v>
      </x:c>
      <x:c r="D4" s="25" t="str">
        <x:v>Dependencia</x:v>
      </x:c>
      <x:c r="E4" s="25" t="str">
        <x:v>S1</x:v>
      </x:c>
      <x:c r="F4" s="25" t="str">
        <x:v>S2</x:v>
      </x:c>
      <x:c r="G4" s="25" t="str">
        <x:v>S3</x:v>
      </x:c>
      <x:c r="H4" s="25" t="str">
        <x:v>S4</x:v>
      </x:c>
      <x:c r="I4" s="25" t="str">
        <x:v>S5</x:v>
      </x:c>
      <x:c r="J4" s="25" t="str">
        <x:v>S6</x:v>
      </x:c>
      <x:c r="K4" s="25" t="str">
        <x:v>S7</x:v>
      </x:c>
      <x:c r="L4" s="25" t="str">
        <x:v>S8</x:v>
      </x:c>
      <x:c r="M4" s="25" t="str">
        <x:v>S9</x:v>
      </x:c>
      <x:c r="N4" s="25" t="str">
        <x:v>S10</x:v>
      </x:c>
      <x:c r="O4" s="25" t="str">
        <x:v>S11</x:v>
      </x:c>
      <x:c r="P4" s="25" t="str">
        <x:v>S12</x:v>
      </x:c>
      <x:c r="Q4" s="25" t="str">
        <x:v>S13</x:v>
      </x:c>
      <x:c r="R4" s="25" t="str">
        <x:v>S14</x:v>
      </x:c>
      <x:c r="S4" s="25" t="str">
        <x:v>S15</x:v>
      </x:c>
      <x:c r="T4" s="25" t="str">
        <x:v>S16</x:v>
      </x:c>
    </x:row>
    <x:row r="5">
      <x:c r="A5" s="67" t="str">
        <x:v>Inicio, entrevistas y alcance</x:v>
      </x:c>
      <x:c r="B5" s="67" t="n">
        <x:v>1</x:v>
      </x:c>
      <x:c r="C5" s="67" t="n">
        <x:v>2</x:v>
      </x:c>
      <x:c r="D5" s="67" t="str">
        <x:v>Patrocinador y usuarios disponibles</x:v>
      </x:c>
      <x:c r="E5" s="89" t="str">
        <x:v>■</x:v>
      </x:c>
      <x:c r="F5" s="89" t="str">
        <x:v>■</x:v>
      </x:c>
      <x:c r="G5" s="89" t="str"/>
      <x:c r="H5" s="89" t="str"/>
      <x:c r="I5" s="89" t="str"/>
      <x:c r="J5" s="89" t="str"/>
      <x:c r="K5" s="89" t="str"/>
      <x:c r="L5" s="89" t="str"/>
      <x:c r="M5" s="89" t="str"/>
      <x:c r="N5" s="89" t="str"/>
      <x:c r="O5" s="89" t="str"/>
      <x:c r="P5" s="89" t="str"/>
      <x:c r="Q5" s="89" t="str"/>
      <x:c r="R5" s="89" t="str"/>
      <x:c r="S5" s="89" t="str"/>
      <x:c r="T5" s="89" t="str"/>
    </x:row>
    <x:row r="6">
      <x:c r="A6" s="67" t="str">
        <x:v>Requisitos, arquitectura y prototipo</x:v>
      </x:c>
      <x:c r="B6" s="67" t="n">
        <x:v>3</x:v>
      </x:c>
      <x:c r="C6" s="67" t="n">
        <x:v>4</x:v>
      </x:c>
      <x:c r="D6" s="67" t="str">
        <x:v>Aprobación de alcance</x:v>
      </x:c>
      <x:c r="E6" s="89" t="str"/>
      <x:c r="F6" s="89" t="str"/>
      <x:c r="G6" s="89" t="str">
        <x:v>■</x:v>
      </x:c>
      <x:c r="H6" s="89" t="str">
        <x:v>■</x:v>
      </x:c>
      <x:c r="I6" s="89" t="str"/>
      <x:c r="J6" s="89" t="str"/>
      <x:c r="K6" s="89" t="str"/>
      <x:c r="L6" s="89" t="str"/>
      <x:c r="M6" s="89" t="str"/>
      <x:c r="N6" s="89" t="str"/>
      <x:c r="O6" s="89" t="str"/>
      <x:c r="P6" s="89" t="str"/>
      <x:c r="Q6" s="89" t="str"/>
      <x:c r="R6" s="89" t="str"/>
      <x:c r="S6" s="89" t="str"/>
      <x:c r="T6" s="89" t="str"/>
    </x:row>
    <x:row r="7">
      <x:c r="A7" s="67" t="str">
        <x:v>Activos, búsqueda, roles y auditoría</x:v>
      </x:c>
      <x:c r="B7" s="67" t="n">
        <x:v>5</x:v>
      </x:c>
      <x:c r="C7" s="67" t="n">
        <x:v>8</x:v>
      </x:c>
      <x:c r="D7" s="67" t="str">
        <x:v>Diseño aprobado</x:v>
      </x:c>
      <x:c r="E7" s="89" t="str"/>
      <x:c r="F7" s="89" t="str"/>
      <x:c r="G7" s="89" t="str"/>
      <x:c r="H7" s="89" t="str"/>
      <x:c r="I7" s="89" t="str">
        <x:v>■</x:v>
      </x:c>
      <x:c r="J7" s="89" t="str">
        <x:v>■</x:v>
      </x:c>
      <x:c r="K7" s="89" t="str">
        <x:v>■</x:v>
      </x:c>
      <x:c r="L7" s="89" t="str">
        <x:v>■</x:v>
      </x:c>
      <x:c r="M7" s="89" t="str"/>
      <x:c r="N7" s="89" t="str"/>
      <x:c r="O7" s="89" t="str"/>
      <x:c r="P7" s="89" t="str"/>
      <x:c r="Q7" s="89" t="str"/>
      <x:c r="R7" s="89" t="str"/>
      <x:c r="S7" s="89" t="str"/>
      <x:c r="T7" s="89" t="str"/>
    </x:row>
    <x:row r="8">
      <x:c r="A8" s="67" t="str">
        <x:v>Mantenimiento, movimientos, reportes y Wiki</x:v>
      </x:c>
      <x:c r="B8" s="67" t="n">
        <x:v>9</x:v>
      </x:c>
      <x:c r="C8" s="67" t="n">
        <x:v>11</x:v>
      </x:c>
      <x:c r="D8" s="67" t="str">
        <x:v>Módulos base</x:v>
      </x:c>
      <x:c r="E8" s="89" t="str"/>
      <x:c r="F8" s="89" t="str"/>
      <x:c r="G8" s="89" t="str"/>
      <x:c r="H8" s="89" t="str"/>
      <x:c r="I8" s="89" t="str"/>
      <x:c r="J8" s="89" t="str"/>
      <x:c r="K8" s="89" t="str"/>
      <x:c r="L8" s="89" t="str"/>
      <x:c r="M8" s="89" t="str">
        <x:v>■</x:v>
      </x:c>
      <x:c r="N8" s="89" t="str">
        <x:v>■</x:v>
      </x:c>
      <x:c r="O8" s="89" t="str">
        <x:v>■</x:v>
      </x:c>
      <x:c r="P8" s="89" t="str"/>
      <x:c r="Q8" s="89" t="str"/>
      <x:c r="R8" s="89" t="str"/>
      <x:c r="S8" s="89" t="str"/>
      <x:c r="T8" s="89" t="str"/>
    </x:row>
    <x:row r="9">
      <x:c r="A9" s="67" t="str">
        <x:v>Pruebas, seguridad y restauración</x:v>
      </x:c>
      <x:c r="B9" s="67" t="n">
        <x:v>12</x:v>
      </x:c>
      <x:c r="C9" s="67" t="n">
        <x:v>13</x:v>
      </x:c>
      <x:c r="D9" s="67" t="str">
        <x:v>Versión candidata</x:v>
      </x:c>
      <x:c r="E9" s="89" t="str"/>
      <x:c r="F9" s="89" t="str"/>
      <x:c r="G9" s="89" t="str"/>
      <x:c r="H9" s="89" t="str"/>
      <x:c r="I9" s="89" t="str"/>
      <x:c r="J9" s="89" t="str"/>
      <x:c r="K9" s="89" t="str"/>
      <x:c r="L9" s="89" t="str"/>
      <x:c r="M9" s="89" t="str"/>
      <x:c r="N9" s="89" t="str"/>
      <x:c r="O9" s="89" t="str"/>
      <x:c r="P9" s="89" t="str">
        <x:v>■</x:v>
      </x:c>
      <x:c r="Q9" s="89" t="str">
        <x:v>■</x:v>
      </x:c>
      <x:c r="R9" s="89" t="str"/>
      <x:c r="S9" s="89" t="str"/>
      <x:c r="T9" s="89" t="str"/>
    </x:row>
    <x:row r="10">
      <x:c r="A10" s="67" t="str">
        <x:v>Limpieza, migración y etiquetas</x:v>
      </x:c>
      <x:c r="B10" s="67" t="n">
        <x:v>14</x:v>
      </x:c>
      <x:c r="C10" s="67" t="n">
        <x:v>14</x:v>
      </x:c>
      <x:c r="D10" s="67" t="str">
        <x:v>Datos validados</x:v>
      </x:c>
      <x:c r="E10" s="89" t="str"/>
      <x:c r="F10" s="89" t="str"/>
      <x:c r="G10" s="89" t="str"/>
      <x:c r="H10" s="89" t="str"/>
      <x:c r="I10" s="89" t="str"/>
      <x:c r="J10" s="89" t="str"/>
      <x:c r="K10" s="89" t="str"/>
      <x:c r="L10" s="89" t="str"/>
      <x:c r="M10" s="89" t="str"/>
      <x:c r="N10" s="89" t="str"/>
      <x:c r="O10" s="89" t="str"/>
      <x:c r="P10" s="89" t="str"/>
      <x:c r="Q10" s="89" t="str"/>
      <x:c r="R10" s="89" t="str">
        <x:v>■</x:v>
      </x:c>
      <x:c r="S10" s="89" t="str"/>
      <x:c r="T10" s="89" t="str"/>
    </x:row>
    <x:row r="11">
      <x:c r="A11" s="67" t="str">
        <x:v>Capacitación y aceptación</x:v>
      </x:c>
      <x:c r="B11" s="67" t="n">
        <x:v>15</x:v>
      </x:c>
      <x:c r="C11" s="67" t="n">
        <x:v>15</x:v>
      </x:c>
      <x:c r="D11" s="67" t="str">
        <x:v>Pruebas aprobadas</x:v>
      </x:c>
      <x:c r="E11" s="89" t="str"/>
      <x:c r="F11" s="89" t="str"/>
      <x:c r="G11" s="89" t="str"/>
      <x:c r="H11" s="89" t="str"/>
      <x:c r="I11" s="89" t="str"/>
      <x:c r="J11" s="89" t="str"/>
      <x:c r="K11" s="89" t="str"/>
      <x:c r="L11" s="89" t="str"/>
      <x:c r="M11" s="89" t="str"/>
      <x:c r="N11" s="89" t="str"/>
      <x:c r="O11" s="89" t="str"/>
      <x:c r="P11" s="89" t="str"/>
      <x:c r="Q11" s="89" t="str"/>
      <x:c r="R11" s="89" t="str"/>
      <x:c r="S11" s="89" t="str">
        <x:v>■</x:v>
      </x:c>
      <x:c r="T11" s="89" t="str"/>
    </x:row>
    <x:row r="12">
      <x:c r="A12" s="67" t="str">
        <x:v>Despliegue y cierre</x:v>
      </x:c>
      <x:c r="B12" s="67" t="n">
        <x:v>16</x:v>
      </x:c>
      <x:c r="C12" s="67" t="n">
        <x:v>16</x:v>
      </x:c>
      <x:c r="D12" s="67" t="str">
        <x:v>Autorización formal</x:v>
      </x:c>
      <x:c r="E12" s="89" t="str"/>
      <x:c r="F12" s="89" t="str"/>
      <x:c r="G12" s="89" t="str"/>
      <x:c r="H12" s="89" t="str"/>
      <x:c r="I12" s="89" t="str"/>
      <x:c r="J12" s="89" t="str"/>
      <x:c r="K12" s="89" t="str"/>
      <x:c r="L12" s="89" t="str"/>
      <x:c r="M12" s="89" t="str"/>
      <x:c r="N12" s="89" t="str"/>
      <x:c r="O12" s="89" t="str"/>
      <x:c r="P12" s="89" t="str"/>
      <x:c r="Q12" s="89" t="str"/>
      <x:c r="R12" s="89" t="str"/>
      <x:c r="S12" s="89" t="str"/>
      <x:c r="T12" s="89" t="str">
        <x:v>■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8" t="str">
        <x:v>Responsables y matriz RACI</x:v>
      </x:c>
      <x:c r="B1" s="58"/>
      <x:c r="C1" s="58"/>
      <x:c r="D1" s="58"/>
      <x:c r="E1" s="58"/>
      <x:c r="F1" s="58"/>
      <x:c r="G1" s="58"/>
      <x:c r="H1" s="58"/>
    </x:row>
    <x:row r="2">
      <x:c r="A2" s="59" t="str">
        <x:v>Reemplazar roles genéricos por nombres antes de iniciar. R ejecuta · A aprueba · C consultado · I informado.</x:v>
      </x:c>
      <x:c r="B2" s="59"/>
      <x:c r="C2" s="59"/>
      <x:c r="D2" s="59"/>
      <x:c r="E2" s="59"/>
      <x:c r="F2" s="59"/>
      <x:c r="G2" s="59"/>
      <x:c r="H2" s="59"/>
    </x:row>
    <x:row r="3">
      <x:c r="A3" s="60"/>
      <x:c r="B3" s="60"/>
      <x:c r="C3" s="60"/>
      <x:c r="D3" s="60"/>
      <x:c r="E3" s="60"/>
      <x:c r="F3" s="60"/>
      <x:c r="G3" s="60"/>
      <x:c r="H3" s="60"/>
    </x:row>
    <x:row r="4">
      <x:c r="A4" s="40" t="str">
        <x:v>Actividad</x:v>
      </x:c>
      <x:c r="B4" s="41" t="str">
        <x:v>Patrocinador</x:v>
      </x:c>
      <x:c r="C4" s="41" t="str">
        <x:v>Dirección</x:v>
      </x:c>
      <x:c r="D4" s="41" t="str">
        <x:v>Administrador</x:v>
      </x:c>
      <x:c r="E4" s="41" t="str">
        <x:v>Equipo técnico</x:v>
      </x:c>
      <x:c r="F4" s="43" t="str">
        <x:v>Usuarios</x:v>
      </x:c>
      <x:c r="G4" s="60"/>
      <x:c r="H4" s="60"/>
    </x:row>
    <x:row r="5">
      <x:c r="A5" s="63" t="str">
        <x:v>Aprobar alcance y presupuesto</x:v>
      </x:c>
      <x:c r="B5" s="84" t="str">
        <x:v>A</x:v>
      </x:c>
      <x:c r="C5" s="84" t="str">
        <x:v>C</x:v>
      </x:c>
      <x:c r="D5" s="84" t="str">
        <x:v>I</x:v>
      </x:c>
      <x:c r="E5" s="84" t="str">
        <x:v>R</x:v>
      </x:c>
      <x:c r="F5" s="64" t="str">
        <x:v>I</x:v>
      </x:c>
      <x:c r="G5" s="60"/>
      <x:c r="H5" s="60"/>
    </x:row>
    <x:row r="6">
      <x:c r="A6" s="63" t="str">
        <x:v>Definir catálogo y reglas</x:v>
      </x:c>
      <x:c r="B6" s="84" t="str">
        <x:v>I</x:v>
      </x:c>
      <x:c r="C6" s="84" t="str">
        <x:v>A</x:v>
      </x:c>
      <x:c r="D6" s="84" t="str">
        <x:v>R</x:v>
      </x:c>
      <x:c r="E6" s="84" t="str">
        <x:v>C</x:v>
      </x:c>
      <x:c r="F6" s="64" t="str">
        <x:v>C</x:v>
      </x:c>
      <x:c r="G6" s="60"/>
      <x:c r="H6" s="60"/>
    </x:row>
    <x:row r="7">
      <x:c r="A7" s="63" t="str">
        <x:v>Construir y desplegar</x:v>
      </x:c>
      <x:c r="B7" s="84" t="str">
        <x:v>I</x:v>
      </x:c>
      <x:c r="C7" s="84" t="str">
        <x:v>C</x:v>
      </x:c>
      <x:c r="D7" s="84" t="str">
        <x:v>C</x:v>
      </x:c>
      <x:c r="E7" s="84" t="str">
        <x:v>A/R</x:v>
      </x:c>
      <x:c r="F7" s="64" t="str">
        <x:v>I</x:v>
      </x:c>
      <x:c r="G7" s="60"/>
      <x:c r="H7" s="60"/>
    </x:row>
    <x:row r="8">
      <x:c r="A8" s="63" t="str">
        <x:v>Validar inventario migrado</x:v>
      </x:c>
      <x:c r="B8" s="84" t="str">
        <x:v>I</x:v>
      </x:c>
      <x:c r="C8" s="84" t="str">
        <x:v>A</x:v>
      </x:c>
      <x:c r="D8" s="84" t="str">
        <x:v>R</x:v>
      </x:c>
      <x:c r="E8" s="84" t="str">
        <x:v>C</x:v>
      </x:c>
      <x:c r="F8" s="64" t="str">
        <x:v>I</x:v>
      </x:c>
      <x:c r="G8" s="60"/>
      <x:c r="H8" s="60"/>
    </x:row>
    <x:row r="9">
      <x:c r="A9" s="63" t="str">
        <x:v>Asignar usuarios y permisos</x:v>
      </x:c>
      <x:c r="B9" s="84" t="str">
        <x:v>I</x:v>
      </x:c>
      <x:c r="C9" s="84" t="str">
        <x:v>A</x:v>
      </x:c>
      <x:c r="D9" s="84" t="str">
        <x:v>R</x:v>
      </x:c>
      <x:c r="E9" s="84" t="str">
        <x:v>C</x:v>
      </x:c>
      <x:c r="F9" s="64" t="str">
        <x:v>I</x:v>
      </x:c>
      <x:c r="G9" s="60"/>
      <x:c r="H9" s="60"/>
    </x:row>
    <x:row r="10">
      <x:c r="A10" s="63" t="str">
        <x:v>Aceptar lanzamiento</x:v>
      </x:c>
      <x:c r="B10" s="84" t="str">
        <x:v>A</x:v>
      </x:c>
      <x:c r="C10" s="84" t="str">
        <x:v>R</x:v>
      </x:c>
      <x:c r="D10" s="84" t="str">
        <x:v>C</x:v>
      </x:c>
      <x:c r="E10" s="84" t="str">
        <x:v>C</x:v>
      </x:c>
      <x:c r="F10" s="64" t="str">
        <x:v>I</x:v>
      </x:c>
      <x:c r="G10" s="60"/>
      <x:c r="H10" s="60"/>
    </x:row>
    <x:row r="11">
      <x:c r="A11" s="63" t="str">
        <x:v>Reportar fallas y movimientos</x:v>
      </x:c>
      <x:c r="B11" s="84" t="str">
        <x:v>I</x:v>
      </x:c>
      <x:c r="C11" s="84" t="str">
        <x:v>A</x:v>
      </x:c>
      <x:c r="D11" s="84" t="str">
        <x:v>R</x:v>
      </x:c>
      <x:c r="E11" s="84" t="str">
        <x:v>C</x:v>
      </x:c>
      <x:c r="F11" s="64" t="str">
        <x:v>R</x:v>
      </x:c>
      <x:c r="G11" s="60"/>
      <x:c r="H11" s="60"/>
    </x:row>
    <x:row r="12">
      <x:c r="A12" s="65" t="str">
        <x:v>Respaldos y recuperación</x:v>
      </x:c>
      <x:c r="B12" s="87" t="str">
        <x:v>I</x:v>
      </x:c>
      <x:c r="C12" s="87" t="str">
        <x:v>C</x:v>
      </x:c>
      <x:c r="D12" s="87" t="str">
        <x:v>C</x:v>
      </x:c>
      <x:c r="E12" s="87" t="str">
        <x:v>A/R</x:v>
      </x:c>
      <x:c r="F12" s="66" t="str">
        <x:v>I</x:v>
      </x:c>
      <x:c r="G12" s="60"/>
      <x:c r="H12" s="6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40" hidden="0" customWidth="1"/>
    <x:col min="5" max="5" width="38" hidden="0" customWidth="1"/>
  </x:cols>
  <x:sheetData>
    <x:row r="1">
      <x:c r="A1" s="58" t="str">
        <x:v>Matriz de interesados</x:v>
      </x:c>
      <x:c r="B1" s="58"/>
      <x:c r="C1" s="58"/>
      <x:c r="D1" s="58"/>
      <x:c r="E1" s="58"/>
      <x:c r="F1" s="58"/>
      <x:c r="G1" s="58"/>
      <x:c r="H1" s="58"/>
    </x:row>
    <x:row r="2">
      <x:c r="A2" s="59" t="str">
        <x:v>Poder e interés cualitativos; validar con actores reales y registrar contactos en la Wiki protegida.</x:v>
      </x:c>
      <x:c r="B2" s="59"/>
      <x:c r="C2" s="59"/>
      <x:c r="D2" s="59"/>
      <x:c r="E2" s="59"/>
      <x:c r="F2" s="59"/>
      <x:c r="G2" s="59"/>
      <x:c r="H2" s="59"/>
    </x:row>
    <x:row r="3">
      <x:c r="A3" s="60"/>
      <x:c r="B3" s="60"/>
      <x:c r="C3" s="60"/>
      <x:c r="D3" s="60"/>
      <x:c r="E3" s="60"/>
      <x:c r="F3" s="60"/>
      <x:c r="G3" s="60"/>
      <x:c r="H3" s="60"/>
    </x:row>
    <x:row r="4">
      <x:c r="A4" s="25" t="str">
        <x:v>Interesado</x:v>
      </x:c>
      <x:c r="B4" s="25" t="str">
        <x:v>Poder</x:v>
      </x:c>
      <x:c r="C4" s="25" t="str">
        <x:v>Interés</x:v>
      </x:c>
      <x:c r="D4" s="25" t="str">
        <x:v>Responsabilidad</x:v>
      </x:c>
      <x:c r="E4" s="25" t="str">
        <x:v>Estrategia</x:v>
      </x:c>
      <x:c r="F4" s="60"/>
      <x:c r="G4" s="60"/>
      <x:c r="H4" s="60"/>
    </x:row>
    <x:row r="5">
      <x:c r="A5" s="67" t="str">
        <x:v>Patrocinador municipal/educativo</x:v>
      </x:c>
      <x:c r="B5" s="67" t="str">
        <x:v>Alto</x:v>
      </x:c>
      <x:c r="C5" s="67" t="str">
        <x:v>Alto</x:v>
      </x:c>
      <x:c r="D5" s="67" t="str">
        <x:v>Alcance, presupuesto y decisiones</x:v>
      </x:c>
      <x:c r="E5" s="67" t="str">
        <x:v>Gestionar de cerca; revisión mensual</x:v>
      </x:c>
      <x:c r="F5" s="60"/>
      <x:c r="G5" s="60"/>
      <x:c r="H5" s="60"/>
    </x:row>
    <x:row r="6">
      <x:c r="A6" s="67" t="str">
        <x:v>Dirección de sede</x:v>
      </x:c>
      <x:c r="B6" s="67" t="str">
        <x:v>Alto</x:v>
      </x:c>
      <x:c r="C6" s="67" t="str">
        <x:v>Alto</x:v>
      </x:c>
      <x:c r="D6" s="67" t="str">
        <x:v>Dueño operativo y aceptación</x:v>
      </x:c>
      <x:c r="E6" s="67" t="str">
        <x:v>Reunión semanal en hitos</x:v>
      </x:c>
      <x:c r="F6" s="60"/>
      <x:c r="G6" s="60"/>
      <x:c r="H6" s="60"/>
    </x:row>
    <x:row r="7">
      <x:c r="A7" s="67" t="str">
        <x:v>Responsable de sistemas</x:v>
      </x:c>
      <x:c r="B7" s="67" t="str">
        <x:v>Medio-alto</x:v>
      </x:c>
      <x:c r="C7" s="67" t="str">
        <x:v>Alto</x:v>
      </x:c>
      <x:c r="D7" s="67" t="str">
        <x:v>Activos, incidencias, usuarios</x:v>
      </x:c>
      <x:c r="E7" s="67" t="str">
        <x:v>Participación continua</x:v>
      </x:c>
      <x:c r="F7" s="60"/>
      <x:c r="G7" s="60"/>
      <x:c r="H7" s="60"/>
    </x:row>
    <x:row r="8">
      <x:c r="A8" s="67" t="str">
        <x:v>Administrativo/almacenista</x:v>
      </x:c>
      <x:c r="B8" s="67" t="str">
        <x:v>Medio</x:v>
      </x:c>
      <x:c r="C8" s="67" t="str">
        <x:v>Alto</x:v>
      </x:c>
      <x:c r="D8" s="67" t="str">
        <x:v>Custodia, QR y conciliación</x:v>
      </x:c>
      <x:c r="E8" s="67" t="str">
        <x:v>Taller de proceso y capacitación</x:v>
      </x:c>
      <x:c r="F8" s="60"/>
      <x:c r="G8" s="60"/>
      <x:c r="H8" s="60"/>
    </x:row>
    <x:row r="9">
      <x:c r="A9" s="67" t="str">
        <x:v>Docentes usuarios</x:v>
      </x:c>
      <x:c r="B9" s="67" t="str">
        <x:v>Bajo-medio</x:v>
      </x:c>
      <x:c r="C9" s="67" t="str">
        <x:v>Medio-alto</x:v>
      </x:c>
      <x:c r="D9" s="67" t="str">
        <x:v>Consulta y reporte de daños</x:v>
      </x:c>
      <x:c r="E9" s="67" t="str">
        <x:v>Pruebas y guías breves</x:v>
      </x:c>
      <x:c r="F9" s="60"/>
      <x:c r="G9" s="60"/>
      <x:c r="H9" s="60"/>
    </x:row>
    <x:row r="10">
      <x:c r="A10" s="67" t="str">
        <x:v>Equipo del proyecto</x:v>
      </x:c>
      <x:c r="B10" s="67" t="str">
        <x:v>Alto</x:v>
      </x:c>
      <x:c r="C10" s="67" t="str">
        <x:v>Alto</x:v>
      </x:c>
      <x:c r="D10" s="67" t="str">
        <x:v>Análisis, desarrollo y transferencia</x:v>
      </x:c>
      <x:c r="E10" s="67" t="str">
        <x:v>Seguimiento semanal</x:v>
      </x:c>
      <x:c r="F10" s="60"/>
      <x:c r="G10" s="60"/>
      <x:c r="H10" s="60"/>
    </x:row>
    <x:row r="11">
      <x:c r="A11" s="67" t="str">
        <x:v>Proveedor tecnológico</x:v>
      </x:c>
      <x:c r="B11" s="67" t="str">
        <x:v>Medio</x:v>
      </x:c>
      <x:c r="C11" s="67" t="str">
        <x:v>Medio</x:v>
      </x:c>
      <x:c r="D11" s="67" t="str">
        <x:v>Servicio cloud/correo/dominio</x:v>
      </x:c>
      <x:c r="E11" s="67" t="str">
        <x:v>Revisar condiciones, alertas y costos</x:v>
      </x:c>
      <x:c r="F11" s="60"/>
      <x:c r="G11" s="60"/>
      <x:c r="H11" s="60"/>
    </x:row>
    <x:row r="12">
      <x:c r="A12" s="67" t="str">
        <x:v>Comunidad</x:v>
      </x:c>
      <x:c r="B12" s="67" t="str">
        <x:v>Bajo</x:v>
      </x:c>
      <x:c r="C12" s="67" t="str">
        <x:v>Medio</x:v>
      </x:c>
      <x:c r="D12" s="67" t="str">
        <x:v>Consulta pública agregada aprobada</x:v>
      </x:c>
      <x:c r="E12" s="67" t="str">
        <x:v>Informar solo datos autorizados</x:v>
      </x:c>
      <x:c r="F12" s="60"/>
      <x:c r="G12" s="60"/>
      <x:c r="H12" s="6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64" hidden="0" customWidth="1"/>
    <x:col min="6" max="6" width="22" hidden="0" customWidth="1"/>
  </x:cols>
  <x:sheetData>
    <x:row r="1">
      <x:c r="A1" s="58" t="str">
        <x:v>Registro de riesgos</x:v>
      </x:c>
      <x:c r="B1" s="58"/>
      <x:c r="C1" s="58"/>
      <x:c r="D1" s="58"/>
      <x:c r="E1" s="58"/>
      <x:c r="F1" s="58"/>
      <x:c r="G1" s="58"/>
      <x:c r="H1" s="58"/>
    </x:row>
    <x:row r="2">
      <x:c r="A2" s="59" t="str">
        <x:v>Niveles cualitativos preliminares, pendientes de validación con patrocinador y responsables.</x:v>
      </x:c>
      <x:c r="B2" s="59"/>
      <x:c r="C2" s="59"/>
      <x:c r="D2" s="59"/>
      <x:c r="E2" s="59"/>
      <x:c r="F2" s="59"/>
      <x:c r="G2" s="59"/>
      <x:c r="H2" s="59"/>
    </x:row>
    <x:row r="3">
      <x:c r="A3" s="60"/>
      <x:c r="B3" s="60"/>
      <x:c r="C3" s="60"/>
      <x:c r="D3" s="60"/>
      <x:c r="E3" s="60"/>
      <x:c r="F3" s="60"/>
      <x:c r="G3" s="60"/>
      <x:c r="H3" s="60"/>
    </x:row>
    <x:row r="4">
      <x:c r="A4" s="25" t="str">
        <x:v>Riesgo</x:v>
      </x:c>
      <x:c r="B4" s="25" t="str">
        <x:v>Probabilidad</x:v>
      </x:c>
      <x:c r="C4" s="25" t="str">
        <x:v>Impacto</x:v>
      </x:c>
      <x:c r="D4" s="25" t="str">
        <x:v>Nivel</x:v>
      </x:c>
      <x:c r="E4" s="25" t="str">
        <x:v>Respuesta</x:v>
      </x:c>
      <x:c r="F4" s="25" t="str">
        <x:v>Responsable</x:v>
      </x:c>
      <x:c r="G4" s="60"/>
      <x:c r="H4" s="60"/>
    </x:row>
    <x:row r="5">
      <x:c r="A5" s="67" t="str">
        <x:v>Inventario incompleto o duplicado</x:v>
      </x:c>
      <x:c r="B5" s="67" t="str">
        <x:v>Alta</x:v>
      </x:c>
      <x:c r="C5" s="67" t="str">
        <x:v>Alto</x:v>
      </x:c>
      <x:c r="D5" s="67" t="str">
        <x:v>Alto</x:v>
      </x:c>
      <x:c r="E5" s="67" t="str">
        <x:v>Reglas, depuración, conteo y conciliación firmada</x:v>
      </x:c>
      <x:c r="F5" s="67" t="str">
        <x:v>Administrador</x:v>
      </x:c>
      <x:c r="G5" s="60"/>
      <x:c r="H5" s="60"/>
    </x:row>
    <x:row r="6">
      <x:c r="A6" s="67" t="str">
        <x:v>Conectividad débil por sede</x:v>
      </x:c>
      <x:c r="B6" s="67" t="str">
        <x:v>Media</x:v>
      </x:c>
      <x:c r="C6" s="67" t="str">
        <x:v>Alto</x:v>
      </x:c>
      <x:c r="D6" s="67" t="str">
        <x:v>Alto</x:v>
      </x:c>
      <x:c r="E6" s="67" t="str">
        <x:v>Medir y probar con dispositivos reales; evaluar offline</x:v>
      </x:c>
      <x:c r="F6" s="67" t="str">
        <x:v>Patrocinador</x:v>
      </x:c>
      <x:c r="G6" s="60"/>
      <x:c r="H6" s="60"/>
    </x:row>
    <x:row r="7">
      <x:c r="A7" s="67" t="str">
        <x:v>Acceso no autorizado o exposición</x:v>
      </x:c>
      <x:c r="B7" s="67" t="str">
        <x:v>Media</x:v>
      </x:c>
      <x:c r="C7" s="67" t="str">
        <x:v>Alto</x:v>
      </x:c>
      <x:c r="D7" s="67" t="str">
        <x:v>Alto</x:v>
      </x:c>
      <x:c r="E7" s="67" t="str">
        <x:v>Mínimo privilegio, TLS, bitácora y consulta pública cerrada</x:v>
      </x:c>
      <x:c r="F7" s="67" t="str">
        <x:v>Técnico</x:v>
      </x:c>
      <x:c r="G7" s="60"/>
      <x:c r="H7" s="60"/>
    </x:row>
    <x:row r="8">
      <x:c r="A8" s="67" t="str">
        <x:v>Pérdida de base o adjuntos</x:v>
      </x:c>
      <x:c r="B8" s="67" t="str">
        <x:v>Baja-media</x:v>
      </x:c>
      <x:c r="C8" s="67" t="str">
        <x:v>Muy alto</x:v>
      </x:c>
      <x:c r="D8" s="67" t="str">
        <x:v>Muy alto</x:v>
      </x:c>
      <x:c r="E8" s="67" t="str">
        <x:v>Copia externa de base/archivos y restauración probada</x:v>
      </x:c>
      <x:c r="F8" s="67" t="str">
        <x:v>Técnico</x:v>
      </x:c>
      <x:c r="G8" s="60"/>
      <x:c r="H8" s="60"/>
    </x:row>
    <x:row r="9">
      <x:c r="A9" s="67" t="str">
        <x:v>Aumento de costos o TRM</x:v>
      </x:c>
      <x:c r="B9" s="67" t="str">
        <x:v>Media</x:v>
      </x:c>
      <x:c r="C9" s="67" t="str">
        <x:v>Medio</x:v>
      </x:c>
      <x:c r="D9" s="67" t="str">
        <x:v>Medio</x:v>
      </x:c>
      <x:c r="E9" s="67" t="str">
        <x:v>Actualizar precios, alertas y revisión de consumo</x:v>
      </x:c>
      <x:c r="F9" s="67" t="str">
        <x:v>Gestión</x:v>
      </x:c>
      <x:c r="G9" s="60"/>
      <x:c r="H9" s="60"/>
    </x:row>
    <x:row r="10">
      <x:c r="A10" s="67" t="str">
        <x:v>Usuarios no disponibles</x:v>
      </x:c>
      <x:c r="B10" s="67" t="str">
        <x:v>Media</x:v>
      </x:c>
      <x:c r="C10" s="67" t="str">
        <x:v>Alto</x:v>
      </x:c>
      <x:c r="D10" s="67" t="str">
        <x:v>Alto</x:v>
      </x:c>
      <x:c r="E10" s="67" t="str">
        <x:v>Reservar validaciones y suplentes; congelar alcance semana 4</x:v>
      </x:c>
      <x:c r="F10" s="67" t="str">
        <x:v>Dirección</x:v>
      </x:c>
      <x:c r="G10" s="60"/>
      <x:c r="H10" s="60"/>
    </x:row>
    <x:row r="11">
      <x:c r="A11" s="67" t="str">
        <x:v>Ampliación no financiada</x:v>
      </x:c>
      <x:c r="B11" s="67" t="str">
        <x:v>Alta</x:v>
      </x:c>
      <x:c r="C11" s="67" t="str">
        <x:v>Alto</x:v>
      </x:c>
      <x:c r="D11" s="67" t="str">
        <x:v>Alto</x:v>
      </x:c>
      <x:c r="E11" s="67" t="str">
        <x:v>Control de cambios y presupuesto por sede/activo</x:v>
      </x:c>
      <x:c r="F11" s="67" t="str">
        <x:v>Patrocinador</x:v>
      </x:c>
      <x:c r="G11" s="60"/>
      <x:c r="H11" s="60"/>
    </x:row>
    <x:row r="12">
      <x:c r="A12" s="67" t="str">
        <x:v>Falta de soporte anual</x:v>
      </x:c>
      <x:c r="B12" s="67" t="str">
        <x:v>Media</x:v>
      </x:c>
      <x:c r="C12" s="67" t="str">
        <x:v>Alto</x:v>
      </x:c>
      <x:c r="D12" s="67" t="str">
        <x:v>Alto</x:v>
      </x:c>
      <x:c r="E12" s="67" t="str">
        <x:v>Asignar fuente recurrente y responsable antes de lanzar</x:v>
      </x:c>
      <x:c r="F12" s="67" t="str">
        <x:v>Patrocinador</x:v>
      </x:c>
      <x:c r="G12" s="60"/>
      <x:c r="H12" s="60"/>
    </x:row>
    <x:row r="13">
      <x:c r="A13" s="67" t="str">
        <x:v>Impuestos/contrato difieren</x:v>
      </x:c>
      <x:c r="B13" s="67" t="str">
        <x:v>Media</x:v>
      </x:c>
      <x:c r="C13" s="67" t="str">
        <x:v>Medio</x:v>
      </x:c>
      <x:c r="D13" s="67" t="str">
        <x:v>Medio</x:v>
      </x:c>
      <x:c r="E13" s="67" t="str">
        <x:v>Oferta discriminada y revisión contable</x:v>
      </x:c>
      <x:c r="F13" s="67" t="str">
        <x:v>Administración</x:v>
      </x:c>
      <x:c r="G13" s="60"/>
      <x:c r="H13" s="6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92" hidden="0" customWidth="1"/>
  </x:cols>
  <x:sheetData>
    <x:row r="1">
      <x:c r="A1" s="58" t="str">
        <x:v>Medición de impacto y retorno</x:v>
      </x:c>
      <x:c r="B1" s="58"/>
      <x:c r="C1" s="58"/>
      <x:c r="D1" s="58"/>
      <x:c r="E1" s="58"/>
      <x:c r="F1" s="58"/>
      <x:c r="G1" s="58"/>
      <x:c r="H1" s="58"/>
    </x:row>
    <x:row r="2">
      <x:c r="A2" s="59" t="str">
        <x:v>Los datos quedan vacíos hasta medir una línea base aprobada. No se inventan ahorros ni ROI.</x:v>
      </x:c>
      <x:c r="B2" s="59"/>
      <x:c r="C2" s="59"/>
      <x:c r="D2" s="59"/>
      <x:c r="E2" s="59"/>
      <x:c r="F2" s="59"/>
      <x:c r="G2" s="59"/>
      <x:c r="H2" s="59"/>
    </x:row>
    <x:row r="3">
      <x:c r="A3" s="60"/>
      <x:c r="B3" s="60"/>
      <x:c r="C3" s="60"/>
      <x:c r="D3" s="60"/>
      <x:c r="E3" s="60"/>
      <x:c r="F3" s="60"/>
      <x:c r="G3" s="60"/>
      <x:c r="H3" s="60"/>
    </x:row>
    <x:row r="4">
      <x:c r="A4" s="25" t="str">
        <x:v>Dato de entrada</x:v>
      </x:c>
      <x:c r="B4" s="25" t="str">
        <x:v>Valor</x:v>
      </x:c>
      <x:c r="C4" s="60"/>
      <x:c r="D4" s="60"/>
      <x:c r="E4" s="60"/>
      <x:c r="F4" s="60"/>
      <x:c r="G4" s="60"/>
      <x:c r="H4" s="60"/>
    </x:row>
    <x:row r="5">
      <x:c r="A5" s="67" t="str">
        <x:v>Compras evitadas verificadas COP</x:v>
      </x:c>
      <x:c r="B5" s="90"/>
      <x:c r="C5" s="60"/>
      <x:c r="D5" s="60"/>
      <x:c r="E5" s="60"/>
      <x:c r="F5" s="60"/>
      <x:c r="G5" s="60"/>
      <x:c r="H5" s="60"/>
    </x:row>
    <x:row r="6">
      <x:c r="A6" s="67" t="str">
        <x:v>Reparaciones evitadas COP</x:v>
      </x:c>
      <x:c r="B6" s="90"/>
      <x:c r="C6" s="60"/>
      <x:c r="D6" s="60"/>
      <x:c r="E6" s="60"/>
      <x:c r="F6" s="60"/>
      <x:c r="G6" s="60"/>
      <x:c r="H6" s="60"/>
    </x:row>
    <x:row r="7">
      <x:c r="A7" s="67" t="str">
        <x:v>Horas administrativas ahorradas</x:v>
      </x:c>
      <x:c r="B7" s="90"/>
      <x:c r="C7" s="60"/>
      <x:c r="D7" s="60"/>
      <x:c r="E7" s="60"/>
      <x:c r="F7" s="60"/>
      <x:c r="G7" s="60"/>
      <x:c r="H7" s="60"/>
    </x:row>
    <x:row r="8">
      <x:c r="A8" s="67" t="str">
        <x:v>Costo laboral por hora COP</x:v>
      </x:c>
      <x:c r="B8" s="90"/>
      <x:c r="C8" s="60"/>
      <x:c r="D8" s="60"/>
      <x:c r="E8" s="60"/>
      <x:c r="F8" s="60"/>
      <x:c r="G8" s="60"/>
      <x:c r="H8" s="60"/>
    </x:row>
    <x:row r="9">
      <x:c r="A9" s="67" t="str">
        <x:v>Costo operativo incremental COP</x:v>
      </x:c>
      <x:c r="B9" s="90"/>
      <x:c r="C9" s="60"/>
      <x:c r="D9" s="60"/>
      <x:c r="E9" s="60"/>
      <x:c r="F9" s="60"/>
      <x:c r="G9" s="60"/>
      <x:c r="H9" s="60"/>
    </x:row>
    <x:row r="10">
      <x:c r="A10" s="67" t="str">
        <x:v>Costo total del proyecto COP</x:v>
      </x:c>
      <x:c r="B10" s="91" t="n">
        <x:f>Presupuesto!B36</x:f>
        <x:v>75562917.4192</x:v>
      </x:c>
      <x:c r="C10" s="60"/>
      <x:c r="D10" s="60"/>
      <x:c r="E10" s="60"/>
      <x:c r="F10" s="60"/>
      <x:c r="G10" s="60"/>
      <x:c r="H10" s="60"/>
    </x:row>
    <x:row r="11">
      <x:c r="A11" s="67" t="str">
        <x:v>Beneficio financiero bruto COP</x:v>
      </x:c>
      <x:c r="B11" s="80" t="str">
        <x:f>IF(COUNT(B5:B8)&lt;4,"",SUM(B5:B6)+B7*B8)</x:f>
      </x:c>
      <x:c r="C11" s="60"/>
      <x:c r="D11" s="60"/>
      <x:c r="E11" s="60"/>
      <x:c r="F11" s="60"/>
      <x:c r="G11" s="60"/>
      <x:c r="H11" s="60"/>
    </x:row>
    <x:row r="12">
      <x:c r="A12" s="67" t="str">
        <x:v>ROI</x:v>
      </x:c>
      <x:c r="B12" s="92" t="str">
        <x:f>IF(OR(B9="",B10="",B10=0),"",(B11-B10)/B10)</x:f>
      </x:c>
      <x:c r="C12" s="60"/>
      <x:c r="D12" s="60"/>
      <x:c r="E12" s="60"/>
      <x:c r="F12" s="60"/>
      <x:c r="G12" s="60"/>
      <x:c r="H12" s="60"/>
    </x:row>
    <x:row r="13">
      <x:c r="A13" s="67"/>
      <x:c r="B13" s="67"/>
      <x:c r="C13" s="60"/>
      <x:c r="D13" s="60"/>
      <x:c r="E13" s="60"/>
      <x:c r="F13" s="60"/>
      <x:c r="G13" s="60"/>
      <x:c r="H13" s="60"/>
    </x:row>
    <x:row r="14">
      <x:c r="A14" s="25" t="str">
        <x:v>Indicador</x:v>
      </x:c>
      <x:c r="B14" s="25" t="str">
        <x:v>Medición sugerida</x:v>
      </x:c>
      <x:c r="C14" s="60"/>
      <x:c r="D14" s="60"/>
      <x:c r="E14" s="60"/>
      <x:c r="F14" s="60"/>
      <x:c r="G14" s="60"/>
      <x:c r="H14" s="60"/>
    </x:row>
    <x:row r="15">
      <x:c r="A15" s="67" t="str">
        <x:v>Social/educativo</x:v>
      </x:c>
      <x:c r="B15" s="67" t="str">
        <x:v>Disponibilidad funcional, tiempo fuera de servicio, equipos recuperados, usuarios activos y satisfacción.</x:v>
      </x:c>
      <x:c r="C15" s="60"/>
      <x:c r="D15" s="60"/>
      <x:c r="E15" s="60"/>
      <x:c r="F15" s="60"/>
      <x:c r="G15" s="60"/>
      <x:c r="H15" s="60"/>
    </x:row>
    <x:row r="16">
      <x:c r="A16" s="67" t="str">
        <x:v>Ambiental</x:v>
      </x:c>
      <x:c r="B16" s="67" t="str">
        <x:v>Equipos reutilizados/reparados; residuos con peso, gestor y evidencia.</x:v>
      </x:c>
      <x:c r="C16" s="60"/>
      <x:c r="D16" s="60"/>
      <x:c r="E16" s="60"/>
      <x:c r="F16" s="60"/>
      <x:c r="G16" s="60"/>
      <x:c r="H16" s="60"/>
    </x:row>
    <x:row r="17">
      <x:c r="A17" s="67" t="str">
        <x:v>Operativo</x:v>
      </x:c>
      <x:c r="B17" s="67" t="str">
        <x:v>Exactitud, ubicación/custodio completos, tiempo de consulta y mantenimiento oportuno.</x:v>
      </x:c>
      <x:c r="C17" s="60"/>
      <x:c r="D17" s="60"/>
      <x:c r="E17" s="60"/>
      <x:c r="F17" s="60"/>
      <x:c r="G17" s="60"/>
      <x:c r="H17" s="60"/>
    </x:row>
    <x:row r="18">
      <x:c r="A18" s="67" t="str">
        <x:v>Cortes</x:v>
      </x:c>
      <x:c r="B18" s="67" t="str">
        <x:v>Línea base; meses 3, 6 y 12. Comparar periodos equivalentes y adjuntar evidencia.</x:v>
      </x:c>
      <x:c r="C18" s="60"/>
      <x:c r="D18" s="60"/>
      <x:c r="E18" s="60"/>
      <x:c r="F18" s="60"/>
      <x:c r="G18" s="60"/>
      <x:c r="H18" s="60"/>
    </x:row>
  </x:sheetData>
  <x:pageMargins left="0.7" right="0.7" top="0.75" bottom="0.75" header="0.3" footer="0.3"/>
</x:worksheet>
</file>